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Stefan\Documents\GitHub\fizica-plasmei\pachen\"/>
    </mc:Choice>
  </mc:AlternateContent>
  <xr:revisionPtr revIDLastSave="0" documentId="13_ncr:1_{E2FCB38B-CA4C-417F-8CCF-FE7325E92E9B}" xr6:coauthVersionLast="47" xr6:coauthVersionMax="47" xr10:uidLastSave="{00000000-0000-0000-0000-000000000000}"/>
  <bookViews>
    <workbookView xWindow="-28800" yWindow="5850" windowWidth="25455" windowHeight="134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1" l="1"/>
  <c r="E27" i="1"/>
  <c r="D28" i="1"/>
  <c r="D29" i="1"/>
  <c r="D30" i="1"/>
  <c r="D31" i="1"/>
  <c r="C31" i="1"/>
  <c r="C30" i="1"/>
  <c r="C29" i="1"/>
  <c r="C28" i="1"/>
  <c r="D27" i="1"/>
  <c r="R3" i="1"/>
  <c r="K7" i="1"/>
  <c r="K6" i="1"/>
  <c r="K5" i="1"/>
  <c r="K4" i="1"/>
  <c r="K3" i="1"/>
  <c r="F31" i="1"/>
  <c r="G31" i="1"/>
  <c r="G30" i="1"/>
  <c r="G29" i="1"/>
  <c r="G28" i="1"/>
  <c r="G27" i="1"/>
  <c r="F30" i="1"/>
  <c r="F29" i="1"/>
  <c r="F28" i="1"/>
  <c r="F27" i="1"/>
  <c r="E31" i="1"/>
  <c r="E30" i="1"/>
  <c r="E29" i="1"/>
  <c r="E28" i="1"/>
  <c r="Y5" i="1"/>
  <c r="Y3" i="1"/>
  <c r="Y4" i="1"/>
  <c r="Y6" i="1"/>
  <c r="Y7" i="1"/>
  <c r="R4" i="1"/>
  <c r="R5" i="1"/>
  <c r="R6" i="1"/>
  <c r="R7" i="1"/>
</calcChain>
</file>

<file path=xl/sharedStrings.xml><?xml version="1.0" encoding="utf-8"?>
<sst xmlns="http://schemas.openxmlformats.org/spreadsheetml/2006/main" count="11" uniqueCount="7">
  <si>
    <t>Gr1</t>
  </si>
  <si>
    <t>Ub</t>
  </si>
  <si>
    <t>Ud</t>
  </si>
  <si>
    <t>pd</t>
  </si>
  <si>
    <t>Gr3</t>
  </si>
  <si>
    <t>Gr4</t>
  </si>
  <si>
    <t>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</si>
</sst>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Border="1"/>
    <xf numFmtId="2" fontId="0" fillId="0" borderId="1" xfId="0" applyNumberFormat="1" applyBorder="1" applyAlignment="1">
      <alignment vertical="center" wrapText="1"/>
    </xf>
    <xf numFmtId="2" fontId="0" fillId="0" borderId="3" xfId="0" applyNumberFormat="1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vertical="center" wrapText="1"/>
    </xf>
    <xf numFmtId="2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Sheet1!$D$3:$D$7</c:f>
              <c:numCache>
                <c:formatCode>0.00</c:formatCode>
                <c:ptCount val="5"/>
                <c:pt idx="0">
                  <c:v>19.175000000000001</c:v>
                </c:pt>
                <c:pt idx="1">
                  <c:v>50.442999999999998</c:v>
                </c:pt>
                <c:pt idx="2">
                  <c:v>71.25</c:v>
                </c:pt>
                <c:pt idx="3">
                  <c:v>83.825000000000003</c:v>
                </c:pt>
                <c:pt idx="4">
                  <c:v>88.757000000000005</c:v>
                </c:pt>
              </c:numCache>
            </c:numRef>
          </c:xVal>
          <c:yVal>
            <c:numRef>
              <c:f>Sheet1!$E$3:$E$7</c:f>
              <c:numCache>
                <c:formatCode>0.00</c:formatCode>
                <c:ptCount val="5"/>
                <c:pt idx="0">
                  <c:v>1193</c:v>
                </c:pt>
                <c:pt idx="1">
                  <c:v>854</c:v>
                </c:pt>
                <c:pt idx="2">
                  <c:v>965</c:v>
                </c:pt>
                <c:pt idx="3">
                  <c:v>1007</c:v>
                </c:pt>
                <c:pt idx="4">
                  <c:v>1043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0-4841-8930-58F0628F44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Sheet1!$D$3:$D$7</c:f>
              <c:numCache>
                <c:formatCode>0.00</c:formatCode>
                <c:ptCount val="5"/>
                <c:pt idx="0">
                  <c:v>19.175000000000001</c:v>
                </c:pt>
                <c:pt idx="1">
                  <c:v>50.442999999999998</c:v>
                </c:pt>
                <c:pt idx="2">
                  <c:v>71.25</c:v>
                </c:pt>
                <c:pt idx="3">
                  <c:v>83.825000000000003</c:v>
                </c:pt>
                <c:pt idx="4">
                  <c:v>88.757000000000005</c:v>
                </c:pt>
              </c:numCache>
            </c:numRef>
          </c:xVal>
          <c:yVal>
            <c:numRef>
              <c:f>Sheet1!$F$3:$F$7</c:f>
              <c:numCache>
                <c:formatCode>0.00</c:formatCode>
                <c:ptCount val="5"/>
                <c:pt idx="0">
                  <c:v>590</c:v>
                </c:pt>
                <c:pt idx="1">
                  <c:v>534</c:v>
                </c:pt>
                <c:pt idx="2">
                  <c:v>516</c:v>
                </c:pt>
                <c:pt idx="3">
                  <c:v>501</c:v>
                </c:pt>
                <c:pt idx="4">
                  <c:v>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C0-4841-8930-58F0628F4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996064"/>
        <c:axId val="1873972768"/>
      </c:scatterChart>
      <c:valAx>
        <c:axId val="187399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72768"/>
        <c:crosses val="autoZero"/>
        <c:crossBetween val="midCat"/>
      </c:valAx>
      <c:valAx>
        <c:axId val="18739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99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Sheet1!$K$3:$K$7</c:f>
              <c:numCache>
                <c:formatCode>0.00</c:formatCode>
                <c:ptCount val="5"/>
                <c:pt idx="0">
                  <c:v>32.85</c:v>
                </c:pt>
                <c:pt idx="1">
                  <c:v>62.37</c:v>
                </c:pt>
                <c:pt idx="2">
                  <c:v>81.599999999999994</c:v>
                </c:pt>
                <c:pt idx="3">
                  <c:v>84.240000000000009</c:v>
                </c:pt>
                <c:pt idx="4">
                  <c:v>85.5</c:v>
                </c:pt>
              </c:numCache>
            </c:numRef>
          </c:xVal>
          <c:yVal>
            <c:numRef>
              <c:f>Sheet1!$L$3:$L$7</c:f>
              <c:numCache>
                <c:formatCode>0.00</c:formatCode>
                <c:ptCount val="5"/>
                <c:pt idx="0">
                  <c:v>1259</c:v>
                </c:pt>
                <c:pt idx="1">
                  <c:v>735</c:v>
                </c:pt>
                <c:pt idx="2">
                  <c:v>803</c:v>
                </c:pt>
                <c:pt idx="3">
                  <c:v>969</c:v>
                </c:pt>
                <c:pt idx="4">
                  <c:v>1037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4A-412F-9E18-A2EA77593BD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Sheet1!$K$3:$K$7</c:f>
              <c:numCache>
                <c:formatCode>0.00</c:formatCode>
                <c:ptCount val="5"/>
                <c:pt idx="0">
                  <c:v>32.85</c:v>
                </c:pt>
                <c:pt idx="1">
                  <c:v>62.37</c:v>
                </c:pt>
                <c:pt idx="2">
                  <c:v>81.599999999999994</c:v>
                </c:pt>
                <c:pt idx="3">
                  <c:v>84.240000000000009</c:v>
                </c:pt>
                <c:pt idx="4">
                  <c:v>85.5</c:v>
                </c:pt>
              </c:numCache>
            </c:numRef>
          </c:xVal>
          <c:yVal>
            <c:numRef>
              <c:f>Sheet1!$M$3:$M$7</c:f>
              <c:numCache>
                <c:formatCode>0.00</c:formatCode>
                <c:ptCount val="5"/>
                <c:pt idx="0">
                  <c:v>487</c:v>
                </c:pt>
                <c:pt idx="1">
                  <c:v>521</c:v>
                </c:pt>
                <c:pt idx="2">
                  <c:v>505</c:v>
                </c:pt>
                <c:pt idx="3">
                  <c:v>498</c:v>
                </c:pt>
                <c:pt idx="4">
                  <c:v>530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4A-412F-9E18-A2EA77593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157392"/>
        <c:axId val="1264161968"/>
      </c:scatterChart>
      <c:valAx>
        <c:axId val="126415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61968"/>
        <c:crosses val="autoZero"/>
        <c:crossBetween val="midCat"/>
      </c:valAx>
      <c:valAx>
        <c:axId val="12641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57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Sheet1!$R$3:$R$7</c:f>
              <c:numCache>
                <c:formatCode>General</c:formatCode>
                <c:ptCount val="5"/>
                <c:pt idx="0">
                  <c:v>38.159999999999997</c:v>
                </c:pt>
                <c:pt idx="1">
                  <c:v>65.55</c:v>
                </c:pt>
                <c:pt idx="2">
                  <c:v>80.5</c:v>
                </c:pt>
                <c:pt idx="3">
                  <c:v>83.52</c:v>
                </c:pt>
                <c:pt idx="4">
                  <c:v>86.419999999999987</c:v>
                </c:pt>
              </c:numCache>
            </c:numRef>
          </c:xVal>
          <c:yVal>
            <c:numRef>
              <c:f>Sheet1!$S$3:$S$7</c:f>
              <c:numCache>
                <c:formatCode>General</c:formatCode>
                <c:ptCount val="5"/>
                <c:pt idx="0">
                  <c:v>1369</c:v>
                </c:pt>
                <c:pt idx="1">
                  <c:v>750</c:v>
                </c:pt>
                <c:pt idx="2">
                  <c:v>966</c:v>
                </c:pt>
                <c:pt idx="3">
                  <c:v>995</c:v>
                </c:pt>
                <c:pt idx="4">
                  <c:v>1064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53-4522-8F62-516F628E8C8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Sheet1!$R$3:$R$7</c:f>
              <c:numCache>
                <c:formatCode>General</c:formatCode>
                <c:ptCount val="5"/>
                <c:pt idx="0">
                  <c:v>38.159999999999997</c:v>
                </c:pt>
                <c:pt idx="1">
                  <c:v>65.55</c:v>
                </c:pt>
                <c:pt idx="2">
                  <c:v>80.5</c:v>
                </c:pt>
                <c:pt idx="3">
                  <c:v>83.52</c:v>
                </c:pt>
                <c:pt idx="4">
                  <c:v>86.419999999999987</c:v>
                </c:pt>
              </c:numCache>
            </c:numRef>
          </c:xVal>
          <c:yVal>
            <c:numRef>
              <c:f>Sheet1!$T$3:$T$7</c:f>
              <c:numCache>
                <c:formatCode>General</c:formatCode>
                <c:ptCount val="5"/>
                <c:pt idx="0">
                  <c:v>471</c:v>
                </c:pt>
                <c:pt idx="1">
                  <c:v>512</c:v>
                </c:pt>
                <c:pt idx="2">
                  <c:v>505</c:v>
                </c:pt>
                <c:pt idx="3">
                  <c:v>502</c:v>
                </c:pt>
                <c:pt idx="4">
                  <c:v>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53-4522-8F62-516F628E8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739360"/>
        <c:axId val="1255760992"/>
      </c:scatterChart>
      <c:valAx>
        <c:axId val="125573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60992"/>
        <c:crosses val="autoZero"/>
        <c:crossBetween val="midCat"/>
      </c:valAx>
      <c:valAx>
        <c:axId val="125576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73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Sheet1!$Y$3:$Y$7</c:f>
              <c:numCache>
                <c:formatCode>General</c:formatCode>
                <c:ptCount val="5"/>
                <c:pt idx="0">
                  <c:v>37.44</c:v>
                </c:pt>
                <c:pt idx="1">
                  <c:v>66.150000000000006</c:v>
                </c:pt>
                <c:pt idx="2">
                  <c:v>82.11</c:v>
                </c:pt>
                <c:pt idx="3">
                  <c:v>86</c:v>
                </c:pt>
                <c:pt idx="4">
                  <c:v>86.49</c:v>
                </c:pt>
              </c:numCache>
            </c:numRef>
          </c:xVal>
          <c:yVal>
            <c:numRef>
              <c:f>Sheet1!$Z$3:$Z$7</c:f>
              <c:numCache>
                <c:formatCode>General</c:formatCode>
                <c:ptCount val="5"/>
                <c:pt idx="0">
                  <c:v>1157</c:v>
                </c:pt>
                <c:pt idx="1">
                  <c:v>696</c:v>
                </c:pt>
                <c:pt idx="2">
                  <c:v>765</c:v>
                </c:pt>
                <c:pt idx="3">
                  <c:v>995</c:v>
                </c:pt>
                <c:pt idx="4">
                  <c:v>1091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B8-4C7B-BDC1-AC19F437E4A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Sheet1!$Y$3:$Y$7</c:f>
              <c:numCache>
                <c:formatCode>General</c:formatCode>
                <c:ptCount val="5"/>
                <c:pt idx="0">
                  <c:v>37.44</c:v>
                </c:pt>
                <c:pt idx="1">
                  <c:v>66.150000000000006</c:v>
                </c:pt>
                <c:pt idx="2">
                  <c:v>82.11</c:v>
                </c:pt>
                <c:pt idx="3">
                  <c:v>86</c:v>
                </c:pt>
                <c:pt idx="4">
                  <c:v>86.49</c:v>
                </c:pt>
              </c:numCache>
            </c:numRef>
          </c:xVal>
          <c:yVal>
            <c:numRef>
              <c:f>Sheet1!$AA$3:$AA$7</c:f>
              <c:numCache>
                <c:formatCode>General</c:formatCode>
                <c:ptCount val="5"/>
                <c:pt idx="0">
                  <c:v>517</c:v>
                </c:pt>
                <c:pt idx="1">
                  <c:v>509</c:v>
                </c:pt>
                <c:pt idx="2">
                  <c:v>506</c:v>
                </c:pt>
                <c:pt idx="3">
                  <c:v>485</c:v>
                </c:pt>
                <c:pt idx="4">
                  <c:v>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B8-4C7B-BDC1-AC19F437E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702960"/>
        <c:axId val="1418711696"/>
      </c:scatterChart>
      <c:valAx>
        <c:axId val="141870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11696"/>
        <c:crosses val="autoZero"/>
        <c:crossBetween val="midCat"/>
      </c:valAx>
      <c:valAx>
        <c:axId val="14187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02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8</xdr:row>
      <xdr:rowOff>152400</xdr:rowOff>
    </xdr:from>
    <xdr:to>
      <xdr:col>7</xdr:col>
      <xdr:colOff>450850</xdr:colOff>
      <xdr:row>23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E08A79D-E44D-4ACF-AFF4-735FCA961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241300</xdr:colOff>
      <xdr:row>8</xdr:row>
      <xdr:rowOff>165100</xdr:rowOff>
    </xdr:from>
    <xdr:to>
      <xdr:col>14</xdr:col>
      <xdr:colOff>546100</xdr:colOff>
      <xdr:row>23</xdr:row>
      <xdr:rowOff>146050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95A23B-C305-4978-88CB-3D8C41D91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425450</xdr:colOff>
      <xdr:row>8</xdr:row>
      <xdr:rowOff>152400</xdr:rowOff>
    </xdr:from>
    <xdr:to>
      <xdr:col>22</xdr:col>
      <xdr:colOff>120650</xdr:colOff>
      <xdr:row>23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33E29E-34D8-4DBE-A981-8A261BDCE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584200</xdr:colOff>
      <xdr:row>8</xdr:row>
      <xdr:rowOff>88900</xdr:rowOff>
    </xdr:from>
    <xdr:to>
      <xdr:col>29</xdr:col>
      <xdr:colOff>279400</xdr:colOff>
      <xdr:row>23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EA39EF1-A345-41BD-BC3C-926EA9C6B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31"/>
  <sheetViews>
    <sheetView tabSelected="1" topLeftCell="C16" zoomScale="145" zoomScaleNormal="145" workbookViewId="0">
      <selection activeCell="F35" sqref="F35"/>
    </sheetView>
  </sheetViews>
  <sheetFormatPr defaultRowHeight="14.5" x14ac:dyDescent="0.35"/>
  <sheetData>
    <row r="2" spans="1:27" ht="15" thickBot="1" x14ac:dyDescent="0.4">
      <c r="A2" t="s">
        <v>0</v>
      </c>
      <c r="E2" t="s">
        <v>1</v>
      </c>
      <c r="F2" t="s">
        <v>2</v>
      </c>
      <c r="H2" t="s">
        <v>6</v>
      </c>
      <c r="I2" s="5"/>
      <c r="J2" s="5"/>
      <c r="K2" s="5" t="s">
        <v>3</v>
      </c>
      <c r="L2" s="5" t="s">
        <v>2</v>
      </c>
      <c r="M2" s="5" t="s">
        <v>1</v>
      </c>
      <c r="O2" t="s">
        <v>4</v>
      </c>
      <c r="S2" t="s">
        <v>2</v>
      </c>
      <c r="T2" t="s">
        <v>1</v>
      </c>
      <c r="V2" t="s">
        <v>5</v>
      </c>
    </row>
    <row r="3" spans="1:27" ht="15" thickBot="1" x14ac:dyDescent="0.4">
      <c r="B3" s="6">
        <v>0.76700000000000002</v>
      </c>
      <c r="C3" s="8">
        <v>25</v>
      </c>
      <c r="D3" s="9">
        <v>19.175000000000001</v>
      </c>
      <c r="E3" s="8">
        <v>1193</v>
      </c>
      <c r="F3" s="10">
        <v>590</v>
      </c>
      <c r="I3" s="7">
        <v>0.73</v>
      </c>
      <c r="J3" s="11">
        <v>45</v>
      </c>
      <c r="K3" s="8">
        <f>I3*J3</f>
        <v>32.85</v>
      </c>
      <c r="L3" s="8">
        <v>1259</v>
      </c>
      <c r="M3" s="7">
        <v>487</v>
      </c>
      <c r="P3" s="2">
        <v>0.72</v>
      </c>
      <c r="Q3" s="3">
        <v>53</v>
      </c>
      <c r="R3" s="1">
        <f>P3*Q3</f>
        <v>38.159999999999997</v>
      </c>
      <c r="S3" s="1">
        <v>1369</v>
      </c>
      <c r="T3" s="2">
        <v>471</v>
      </c>
      <c r="W3" s="2">
        <v>0.72</v>
      </c>
      <c r="X3" s="3">
        <v>52</v>
      </c>
      <c r="Y3" s="1">
        <f>W3*X3</f>
        <v>37.44</v>
      </c>
      <c r="Z3" s="1">
        <v>1157</v>
      </c>
      <c r="AA3" s="2">
        <v>517</v>
      </c>
    </row>
    <row r="4" spans="1:27" ht="15" thickBot="1" x14ac:dyDescent="0.4">
      <c r="B4" s="7">
        <v>0.69099999999999995</v>
      </c>
      <c r="C4" s="11">
        <v>73</v>
      </c>
      <c r="D4" s="9">
        <v>50.442999999999998</v>
      </c>
      <c r="E4" s="11">
        <v>854</v>
      </c>
      <c r="F4" s="7">
        <v>534</v>
      </c>
      <c r="I4" s="7">
        <v>0.63</v>
      </c>
      <c r="J4" s="11">
        <v>99</v>
      </c>
      <c r="K4" s="8">
        <f>I4*J4</f>
        <v>62.37</v>
      </c>
      <c r="L4" s="11">
        <v>735</v>
      </c>
      <c r="M4" s="7">
        <v>521</v>
      </c>
      <c r="P4" s="2">
        <v>0.56999999999999995</v>
      </c>
      <c r="Q4" s="3">
        <v>115</v>
      </c>
      <c r="R4" s="1">
        <f>P4*Q4</f>
        <v>65.55</v>
      </c>
      <c r="S4" s="3">
        <v>750</v>
      </c>
      <c r="T4" s="2">
        <v>512</v>
      </c>
      <c r="W4" s="2">
        <v>0.63</v>
      </c>
      <c r="X4" s="3">
        <v>105</v>
      </c>
      <c r="Y4" s="1">
        <f>W4*X4</f>
        <v>66.150000000000006</v>
      </c>
      <c r="Z4" s="3">
        <v>696</v>
      </c>
      <c r="AA4" s="2">
        <v>509</v>
      </c>
    </row>
    <row r="5" spans="1:27" ht="15" thickBot="1" x14ac:dyDescent="0.4">
      <c r="B5" s="7">
        <v>0.56999999999999995</v>
      </c>
      <c r="C5" s="11">
        <v>125</v>
      </c>
      <c r="D5" s="9">
        <v>71.25</v>
      </c>
      <c r="E5" s="11">
        <v>965</v>
      </c>
      <c r="F5" s="7">
        <v>516</v>
      </c>
      <c r="I5" s="7">
        <v>0.51</v>
      </c>
      <c r="J5" s="11">
        <v>160</v>
      </c>
      <c r="K5" s="8">
        <f>I5*J5</f>
        <v>81.599999999999994</v>
      </c>
      <c r="L5" s="11">
        <v>803</v>
      </c>
      <c r="M5" s="7">
        <v>505</v>
      </c>
      <c r="P5" s="2">
        <v>0.46</v>
      </c>
      <c r="Q5" s="3">
        <v>175</v>
      </c>
      <c r="R5" s="1">
        <f>P5*Q5</f>
        <v>80.5</v>
      </c>
      <c r="S5" s="3">
        <v>966</v>
      </c>
      <c r="T5" s="2">
        <v>505</v>
      </c>
      <c r="W5" s="2">
        <v>0.51</v>
      </c>
      <c r="X5" s="3">
        <v>161</v>
      </c>
      <c r="Y5" s="1">
        <f>W5*X5</f>
        <v>82.11</v>
      </c>
      <c r="Z5" s="3">
        <v>765</v>
      </c>
      <c r="AA5" s="2">
        <v>506</v>
      </c>
    </row>
    <row r="6" spans="1:27" ht="15" thickBot="1" x14ac:dyDescent="0.4">
      <c r="B6" s="7">
        <v>0.47899999999999998</v>
      </c>
      <c r="C6" s="11">
        <v>175</v>
      </c>
      <c r="D6" s="9">
        <v>83.825000000000003</v>
      </c>
      <c r="E6" s="11">
        <v>1007</v>
      </c>
      <c r="F6" s="7">
        <v>501</v>
      </c>
      <c r="I6" s="7">
        <v>0.39</v>
      </c>
      <c r="J6" s="11">
        <v>216</v>
      </c>
      <c r="K6" s="8">
        <f>I6*J6</f>
        <v>84.240000000000009</v>
      </c>
      <c r="L6" s="11">
        <v>969</v>
      </c>
      <c r="M6" s="7">
        <v>498</v>
      </c>
      <c r="P6" s="2">
        <v>0.36</v>
      </c>
      <c r="Q6" s="3">
        <v>232</v>
      </c>
      <c r="R6" s="1">
        <f>P6*Q6</f>
        <v>83.52</v>
      </c>
      <c r="S6" s="3">
        <v>995</v>
      </c>
      <c r="T6" s="2">
        <v>502</v>
      </c>
      <c r="W6" s="2">
        <v>0.4</v>
      </c>
      <c r="X6" s="3">
        <v>215</v>
      </c>
      <c r="Y6" s="1">
        <f>W6*X6</f>
        <v>86</v>
      </c>
      <c r="Z6" s="3">
        <v>995</v>
      </c>
      <c r="AA6" s="2">
        <v>485</v>
      </c>
    </row>
    <row r="7" spans="1:27" ht="15" thickBot="1" x14ac:dyDescent="0.4">
      <c r="B7" s="7">
        <v>0.39100000000000001</v>
      </c>
      <c r="C7" s="11">
        <v>227</v>
      </c>
      <c r="D7" s="9">
        <v>88.757000000000005</v>
      </c>
      <c r="E7" s="11">
        <v>1043</v>
      </c>
      <c r="F7" s="7">
        <v>502</v>
      </c>
      <c r="I7" s="12">
        <v>0.3</v>
      </c>
      <c r="J7" s="8">
        <v>285</v>
      </c>
      <c r="K7" s="8">
        <f>I7*J7</f>
        <v>85.5</v>
      </c>
      <c r="L7" s="11">
        <v>1037</v>
      </c>
      <c r="M7" s="10">
        <v>530</v>
      </c>
      <c r="P7" s="4">
        <v>0.28999999999999998</v>
      </c>
      <c r="Q7" s="1">
        <v>298</v>
      </c>
      <c r="R7" s="1">
        <f>P7*Q7</f>
        <v>86.419999999999987</v>
      </c>
      <c r="S7" s="3">
        <v>1064</v>
      </c>
      <c r="T7" s="4">
        <v>525</v>
      </c>
      <c r="W7" s="4">
        <v>0.31</v>
      </c>
      <c r="X7" s="1">
        <v>279</v>
      </c>
      <c r="Y7" s="1">
        <f>W7*X7</f>
        <v>86.49</v>
      </c>
      <c r="Z7" s="3">
        <v>1091</v>
      </c>
      <c r="AA7" s="4">
        <v>495</v>
      </c>
    </row>
    <row r="27" spans="3:7" x14ac:dyDescent="0.35">
      <c r="C27" s="9">
        <f>AVERAGE(B3,I3,P3,W3)</f>
        <v>0.73424999999999985</v>
      </c>
      <c r="D27" s="9">
        <f>AVERAGE(C3,J3,Q3,X3)</f>
        <v>43.75</v>
      </c>
      <c r="E27" s="9">
        <f>AVERAGE(D3,K3,R3,Y3)</f>
        <v>31.90625</v>
      </c>
      <c r="F27">
        <f t="shared" ref="E27:F31" si="0">AVERAGE(E3,L3,S3,Z3)</f>
        <v>1244.5</v>
      </c>
      <c r="G27">
        <f t="shared" ref="G27:G31" si="1">AVERAGE(F3,M3,T3,AA3)</f>
        <v>516.25</v>
      </c>
    </row>
    <row r="28" spans="3:7" x14ac:dyDescent="0.35">
      <c r="C28" s="9">
        <f>AVERAGE(B4,I4,P4,W4)</f>
        <v>0.63024999999999998</v>
      </c>
      <c r="D28" s="9">
        <f>AVERAGE(C4,J4,Q4,X4)</f>
        <v>98</v>
      </c>
      <c r="E28">
        <f t="shared" si="0"/>
        <v>61.128250000000001</v>
      </c>
      <c r="F28">
        <f t="shared" si="0"/>
        <v>758.75</v>
      </c>
      <c r="G28">
        <f t="shared" si="1"/>
        <v>519</v>
      </c>
    </row>
    <row r="29" spans="3:7" x14ac:dyDescent="0.35">
      <c r="C29" s="9">
        <f>AVERAGE(B5,I5,P5,W5)</f>
        <v>0.51249999999999996</v>
      </c>
      <c r="D29" s="9">
        <f>AVERAGE(C5,J5,Q5,X5)</f>
        <v>155.25</v>
      </c>
      <c r="E29">
        <f t="shared" si="0"/>
        <v>78.864999999999995</v>
      </c>
      <c r="F29">
        <f t="shared" si="0"/>
        <v>874.75</v>
      </c>
      <c r="G29">
        <f t="shared" si="1"/>
        <v>508</v>
      </c>
    </row>
    <row r="30" spans="3:7" x14ac:dyDescent="0.35">
      <c r="C30" s="9">
        <f>AVERAGE(B6,I6,P6,W6)</f>
        <v>0.40725</v>
      </c>
      <c r="D30" s="9">
        <f>AVERAGE(C6,J6,Q6,X6)</f>
        <v>209.5</v>
      </c>
      <c r="E30">
        <f t="shared" si="0"/>
        <v>84.396249999999995</v>
      </c>
      <c r="F30">
        <f t="shared" si="0"/>
        <v>991.5</v>
      </c>
      <c r="G30">
        <f t="shared" si="1"/>
        <v>496.5</v>
      </c>
    </row>
    <row r="31" spans="3:7" x14ac:dyDescent="0.35">
      <c r="C31" s="9">
        <f>AVERAGE(B7,I7,P7,W7)</f>
        <v>0.32275000000000004</v>
      </c>
      <c r="D31" s="9">
        <f>AVERAGE(C7,J7,Q7,X7)</f>
        <v>272.25</v>
      </c>
      <c r="E31">
        <f t="shared" si="0"/>
        <v>86.791750000000008</v>
      </c>
      <c r="F31">
        <f t="shared" si="0"/>
        <v>1058.75</v>
      </c>
      <c r="G31">
        <f t="shared" si="1"/>
        <v>513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2015-06-05T18:17:20Z</dcterms:created>
  <dcterms:modified xsi:type="dcterms:W3CDTF">2022-04-16T23:59:00Z</dcterms:modified>
</cp:coreProperties>
</file>